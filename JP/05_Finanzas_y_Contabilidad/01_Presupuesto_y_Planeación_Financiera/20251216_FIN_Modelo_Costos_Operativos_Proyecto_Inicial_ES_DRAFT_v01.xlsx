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al" sheetId="1" r:id="rId4"/>
    <sheet state="visible" name="Escuela de extensión" sheetId="2" r:id="rId5"/>
    <sheet state="visible" name="Cronograma" sheetId="3" r:id="rId6"/>
    <sheet state="visible" name="Inversión Inicial" sheetId="4" r:id="rId7"/>
  </sheets>
  <definedNames/>
  <calcPr/>
</workbook>
</file>

<file path=xl/sharedStrings.xml><?xml version="1.0" encoding="utf-8"?>
<sst xmlns="http://schemas.openxmlformats.org/spreadsheetml/2006/main" count="318" uniqueCount="228">
  <si>
    <t xml:space="preserve"> </t>
  </si>
  <si>
    <t>INGRESOS TOTALES MES</t>
  </si>
  <si>
    <t>Sociedad Valderrama International School</t>
  </si>
  <si>
    <t>%</t>
  </si>
  <si>
    <t>Proyección Utilidad</t>
  </si>
  <si>
    <t>Salario Anual</t>
  </si>
  <si>
    <t>TOTAL ANUAL</t>
  </si>
  <si>
    <t>Costos de Infraestructura</t>
  </si>
  <si>
    <t>Valor</t>
  </si>
  <si>
    <t>TOTAL</t>
  </si>
  <si>
    <t>COSTOS MENSUALES</t>
  </si>
  <si>
    <t>COSTOS TOTALES MES</t>
  </si>
  <si>
    <t>Arriendo</t>
  </si>
  <si>
    <t>UTILIDADES MES</t>
  </si>
  <si>
    <t>Luz</t>
  </si>
  <si>
    <t>UTILIDAD ANUAL</t>
  </si>
  <si>
    <t>Agua</t>
  </si>
  <si>
    <t>UTILIDAD ANUAL + MATRICULA</t>
  </si>
  <si>
    <t>Gas</t>
  </si>
  <si>
    <t>35% REINVERSIÓN</t>
  </si>
  <si>
    <t>WIFI</t>
  </si>
  <si>
    <t>DIVIDENDOS</t>
  </si>
  <si>
    <t>Mantenimiento</t>
  </si>
  <si>
    <t>Costos Personal Administrativo</t>
  </si>
  <si>
    <t>Costo por salón y estudiantes</t>
  </si>
  <si>
    <t>Head of School</t>
  </si>
  <si>
    <t>Salario de 7 M costo empresario</t>
  </si>
  <si>
    <t>13 salones</t>
  </si>
  <si>
    <t>STEAM &amp; Technology Director</t>
  </si>
  <si>
    <t>Salario de 3.5 M costo empresario</t>
  </si>
  <si>
    <t>15 estudiantes x curso</t>
  </si>
  <si>
    <t>Marketing &amp; Communication Director</t>
  </si>
  <si>
    <t>Salario de 2.5 M costo empresario</t>
  </si>
  <si>
    <t>Preschool Director</t>
  </si>
  <si>
    <t>Salario de 4 M costo empresario</t>
  </si>
  <si>
    <t>Preschool Discipline Coordinator</t>
  </si>
  <si>
    <t>Psychologist</t>
  </si>
  <si>
    <t>Accountant</t>
  </si>
  <si>
    <t>Assistant Accountant</t>
  </si>
  <si>
    <t>Salario mínimo costo de empresario</t>
  </si>
  <si>
    <t>School Secretary</t>
  </si>
  <si>
    <t>Human Resources Manager</t>
  </si>
  <si>
    <t>School Nurse</t>
  </si>
  <si>
    <t>Costos Personal de Servicios Generales</t>
  </si>
  <si>
    <t>Cantidad</t>
  </si>
  <si>
    <t>Totales</t>
  </si>
  <si>
    <t>Vigilantes</t>
  </si>
  <si>
    <t>Aseadoras</t>
  </si>
  <si>
    <t>Auxiliar de Mantenimiento</t>
  </si>
  <si>
    <t>Ver Tarifas de Matrícula y Pensión</t>
  </si>
  <si>
    <t>Ingresos por estudiantes</t>
  </si>
  <si>
    <t>Valor Individual</t>
  </si>
  <si>
    <t>TOTAL MATRICULAS (PAGO ANUAL)</t>
  </si>
  <si>
    <t>TOTAL MENSUALIDADES</t>
  </si>
  <si>
    <t>Mañana</t>
  </si>
  <si>
    <t>Matrícula Anual Nursery</t>
  </si>
  <si>
    <t>Tarde</t>
  </si>
  <si>
    <t>Matrícula Anual Maternal</t>
  </si>
  <si>
    <t>Matrícula Anual Prekinder</t>
  </si>
  <si>
    <t>Matrícula Anual Kinder</t>
  </si>
  <si>
    <t>Fundación Valderrama</t>
  </si>
  <si>
    <t>Costos Docentes</t>
  </si>
  <si>
    <t>Salón</t>
  </si>
  <si>
    <t>Salario</t>
  </si>
  <si>
    <t>Seguro Escolar</t>
  </si>
  <si>
    <t>Homeroom Teacher - Nursery A</t>
  </si>
  <si>
    <t>Plataforma Virtual</t>
  </si>
  <si>
    <t>Co-Teacher - Nursery A</t>
  </si>
  <si>
    <t>Carnetización</t>
  </si>
  <si>
    <t>Homeroom Teacher - Nursery B</t>
  </si>
  <si>
    <t>Mat. Apoyo Pedagógico</t>
  </si>
  <si>
    <t>Co-Teacher - Nursery B</t>
  </si>
  <si>
    <t>Mensualidad Nursery</t>
  </si>
  <si>
    <t>¿Cuantas matriculas necesitamos para no quebrar?</t>
  </si>
  <si>
    <t>Homeroom Teacher - Nursery C</t>
  </si>
  <si>
    <t>Mensualidad Maternal</t>
  </si>
  <si>
    <t>72 estudiantes matriculados</t>
  </si>
  <si>
    <t>Co-Teacher - Nursery C</t>
  </si>
  <si>
    <t>Mensualidad Prekinder</t>
  </si>
  <si>
    <t>35 estudiantes</t>
  </si>
  <si>
    <t>Homeroom Teacher - Nursery D</t>
  </si>
  <si>
    <t>Mensualidad Kinder</t>
  </si>
  <si>
    <t>16 estudiantes</t>
  </si>
  <si>
    <t>Co-Teacher - Nursery D</t>
  </si>
  <si>
    <t>Homeroom Teacher - Maternal A</t>
  </si>
  <si>
    <t>Total Matrícula Nursery</t>
  </si>
  <si>
    <t>150 estudiantes</t>
  </si>
  <si>
    <t>IDEAL</t>
  </si>
  <si>
    <t>Co-Teacher - Maternal A</t>
  </si>
  <si>
    <t>Total Matrícula Maternal</t>
  </si>
  <si>
    <t>Homeroom Teacher - Maternal B</t>
  </si>
  <si>
    <t>Total Matrícula Prekinder</t>
  </si>
  <si>
    <t>Co-Teacher - Maternal B</t>
  </si>
  <si>
    <t>Total Matrícula Kinder</t>
  </si>
  <si>
    <t>Homeroom Teacher - Maternal C</t>
  </si>
  <si>
    <t>$3.473.500</t>
  </si>
  <si>
    <t>Co-Teacher - Maternal C</t>
  </si>
  <si>
    <t>Homeroom Teacher - Prekinder A</t>
  </si>
  <si>
    <t>Co-Teacher - Prekinder A</t>
  </si>
  <si>
    <t>Homeroom Teacher - Prekinder B</t>
  </si>
  <si>
    <t>Co-Teacher - Prekinder B</t>
  </si>
  <si>
    <t>Homeroom Teacher - Prekinder C</t>
  </si>
  <si>
    <t>Co-Teacher - Prekinder C</t>
  </si>
  <si>
    <t>Homeroom Teacher - Kinder A</t>
  </si>
  <si>
    <t>Co-Teacher - Kinder A</t>
  </si>
  <si>
    <t>Homeroom Teacher - Kinder B</t>
  </si>
  <si>
    <t>Co-Teacher - Kinder B</t>
  </si>
  <si>
    <t>Homeroom Teacher Kinder C</t>
  </si>
  <si>
    <t>Co-Teacher - Kinder C</t>
  </si>
  <si>
    <t>Music Teacher</t>
  </si>
  <si>
    <t>Art Teacher</t>
  </si>
  <si>
    <t>P.E. Teacher</t>
  </si>
  <si>
    <t>N/A</t>
  </si>
  <si>
    <t>Costos Adicionales</t>
  </si>
  <si>
    <t>Papelería</t>
  </si>
  <si>
    <t>Publicidad</t>
  </si>
  <si>
    <t>Ingreso total</t>
  </si>
  <si>
    <t>Costos totales</t>
  </si>
  <si>
    <t>Utilidad estimada</t>
  </si>
  <si>
    <t>Costos docentes</t>
  </si>
  <si>
    <t>Valor por hora</t>
  </si>
  <si>
    <t>Total horas mes</t>
  </si>
  <si>
    <t>Total</t>
  </si>
  <si>
    <t>Cantidad de estudiantes</t>
  </si>
  <si>
    <t>Intensidad horaria mensual</t>
  </si>
  <si>
    <t>Tutor 1</t>
  </si>
  <si>
    <t>Salón Tutoría # 1</t>
  </si>
  <si>
    <t>Tutor 2</t>
  </si>
  <si>
    <t>Salón Tutoría # 2</t>
  </si>
  <si>
    <t>Tutor 3</t>
  </si>
  <si>
    <t>Salón Tutoría # 3</t>
  </si>
  <si>
    <t>Docente Danza</t>
  </si>
  <si>
    <t>Escuela de Danza</t>
  </si>
  <si>
    <t>Docente Arte</t>
  </si>
  <si>
    <t>Escuela de Artes</t>
  </si>
  <si>
    <t>Docente Música 1</t>
  </si>
  <si>
    <t>Escuela de Música</t>
  </si>
  <si>
    <t>Docente Música 2</t>
  </si>
  <si>
    <t>Docente Música 3</t>
  </si>
  <si>
    <t>Cronograma</t>
  </si>
  <si>
    <t>ACTIVIDAD / GESTIÓN</t>
  </si>
  <si>
    <t>AGOSTO</t>
  </si>
  <si>
    <t>SEPTIEMBRE</t>
  </si>
  <si>
    <t>OCTUBRE</t>
  </si>
  <si>
    <t>NOVIEMBRE</t>
  </si>
  <si>
    <t>DICIEMBRE</t>
  </si>
  <si>
    <t>Alquiler de la casa</t>
  </si>
  <si>
    <t>X</t>
  </si>
  <si>
    <t>Diseño arquitectónico y planificación de adecuaciones</t>
  </si>
  <si>
    <t>Adecuación física del espacio</t>
  </si>
  <si>
    <t>Compra e instalación de mobiliario para salones modelo</t>
  </si>
  <si>
    <t>Legalización del colegio (registro, licencias, etc.)</t>
  </si>
  <si>
    <t>Contratación de personal clave (coordinador, docentes)</t>
  </si>
  <si>
    <t>Diseño y ejecución del plan de marketing</t>
  </si>
  <si>
    <t>Organización del primer Open House</t>
  </si>
  <si>
    <t>Evaluación del Open House y retroalimentación</t>
  </si>
  <si>
    <t>Acondicionamiento completo de todos los salones</t>
  </si>
  <si>
    <t>Compra de materiales pedagógicos</t>
  </si>
  <si>
    <t>Inscripción y matrícula de estudiantes</t>
  </si>
  <si>
    <t>Segundo Open House Pre-lanzamiento y retroalimentación</t>
  </si>
  <si>
    <t>Capacitación docente y ensayos pedagógicos</t>
  </si>
  <si>
    <t>Campaña final de matrículas</t>
  </si>
  <si>
    <t>Planeación académica y curricular</t>
  </si>
  <si>
    <t>Entrega de kits escolares y uniformes</t>
  </si>
  <si>
    <t>Inauguración</t>
  </si>
  <si>
    <t>Costos de Inversión</t>
  </si>
  <si>
    <t>Elementos</t>
  </si>
  <si>
    <t>Valor Unitario</t>
  </si>
  <si>
    <t>Capital</t>
  </si>
  <si>
    <t>Falta</t>
  </si>
  <si>
    <t>Televisores 40 pulgadas</t>
  </si>
  <si>
    <t>10</t>
  </si>
  <si>
    <t>Mesas para niños</t>
  </si>
  <si>
    <t>40</t>
  </si>
  <si>
    <t>Sillas para niños</t>
  </si>
  <si>
    <t>80</t>
  </si>
  <si>
    <t>Sillas Profesores</t>
  </si>
  <si>
    <t>20</t>
  </si>
  <si>
    <t>Estantes para libros y materiales</t>
  </si>
  <si>
    <t>Armarios para almacenamiento de materiales didácticos</t>
  </si>
  <si>
    <t>Alfombras o tapetes para actividades en el suelo</t>
  </si>
  <si>
    <t>Mesas de juego y aprendizaje</t>
  </si>
  <si>
    <t>Rincones de lectura con cojines y sillas cómodas</t>
  </si>
  <si>
    <t>Juegos de construcción (bloques, legos, etc.).</t>
  </si>
  <si>
    <t>12</t>
  </si>
  <si>
    <t>Materiales para arte y manualidades (pinturas, pinceles, papel, etc.).</t>
  </si>
  <si>
    <t>Libros educativos y cuentos infantiles.</t>
  </si>
  <si>
    <t>Juegos de mesa y puzzles.</t>
  </si>
  <si>
    <t>30</t>
  </si>
  <si>
    <t>Tablero tradicional</t>
  </si>
  <si>
    <t>Computadoras o laptops para el uso del maestro</t>
  </si>
  <si>
    <t>Tablets para actividades tecnológicas</t>
  </si>
  <si>
    <t xml:space="preserve">Botiquín de primeros auxilios </t>
  </si>
  <si>
    <t>Extintores</t>
  </si>
  <si>
    <t>Detectores de humo y sistemas de alarma.</t>
  </si>
  <si>
    <t>13</t>
  </si>
  <si>
    <t>Protecciones en enchufes y esquinas de muebles.</t>
  </si>
  <si>
    <t>100</t>
  </si>
  <si>
    <t>Escritorios y sillas para el personal administrativo.</t>
  </si>
  <si>
    <t>4</t>
  </si>
  <si>
    <t>Computadoras para oficina</t>
  </si>
  <si>
    <t>3</t>
  </si>
  <si>
    <t>Impresora</t>
  </si>
  <si>
    <t>2</t>
  </si>
  <si>
    <t>Fotocopiadora</t>
  </si>
  <si>
    <t>1</t>
  </si>
  <si>
    <t>Juegos de exterior (columpios, toboganes, etc.).</t>
  </si>
  <si>
    <t>Equipamiento deportivo (pelotas, aros, cuerdas).</t>
  </si>
  <si>
    <t>32</t>
  </si>
  <si>
    <t>Utensilios (escobas, trapeadores, aspiradoras).</t>
  </si>
  <si>
    <t>Murales y posters educativos.</t>
  </si>
  <si>
    <t>16</t>
  </si>
  <si>
    <t>Plantas y elementos decorativos.</t>
  </si>
  <si>
    <t>Delantales para actividades de arte.</t>
  </si>
  <si>
    <t>Cortinas o persianas para ventanas.</t>
  </si>
  <si>
    <t>Archivadores de oficina</t>
  </si>
  <si>
    <t>Instrumentos musicales básicos (tamborines, maracas, xilófonos, ukelele).</t>
  </si>
  <si>
    <t>Software educativo y aplicaciones.</t>
  </si>
  <si>
    <t>Cámaras de seguridad.</t>
  </si>
  <si>
    <t xml:space="preserve">2 </t>
  </si>
  <si>
    <t>Sofás y sillas para la sala de espera.</t>
  </si>
  <si>
    <t>Neveras minibar</t>
  </si>
  <si>
    <t>6</t>
  </si>
  <si>
    <t>Dispensadores de agua</t>
  </si>
  <si>
    <t>Toallas húmedas y gel desinfectante.</t>
  </si>
  <si>
    <t>60</t>
  </si>
  <si>
    <t>Señalizaciones</t>
  </si>
  <si>
    <t>Aires acondicionados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</si>
</sst>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</fonts>
  <fills count="1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2" fontId="2" numFmtId="164" xfId="0" applyBorder="1" applyFont="1" applyNumberForma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2" numFmtId="164" xfId="0" applyBorder="1" applyFont="1" applyNumberFormat="1"/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Border="1" applyFont="1" applyNumberFormat="1"/>
    <xf borderId="1" fillId="4" fontId="1" numFmtId="0" xfId="0" applyAlignment="1" applyBorder="1" applyFill="1" applyFont="1">
      <alignment readingOrder="0"/>
    </xf>
    <xf borderId="1" fillId="4" fontId="2" numFmtId="164" xfId="0" applyBorder="1" applyFont="1" applyNumberFormat="1"/>
    <xf borderId="1" fillId="0" fontId="1" numFmtId="164" xfId="0" applyBorder="1" applyFont="1" applyNumberFormat="1"/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5" fontId="2" numFmtId="0" xfId="0" applyBorder="1" applyFill="1" applyFont="1"/>
    <xf borderId="1" fillId="6" fontId="2" numFmtId="0" xfId="0" applyAlignment="1" applyBorder="1" applyFill="1" applyFont="1">
      <alignment readingOrder="0"/>
    </xf>
    <xf borderId="1" fillId="6" fontId="2" numFmtId="164" xfId="0" applyAlignment="1" applyBorder="1" applyFont="1" applyNumberFormat="1">
      <alignment readingOrder="0"/>
    </xf>
    <xf borderId="1" fillId="6" fontId="2" numFmtId="164" xfId="0" applyBorder="1" applyFont="1" applyNumberFormat="1"/>
    <xf borderId="1" fillId="7" fontId="2" numFmtId="0" xfId="0" applyBorder="1" applyFill="1" applyFont="1"/>
    <xf borderId="1" fillId="8" fontId="2" numFmtId="0" xfId="0" applyAlignment="1" applyBorder="1" applyFill="1" applyFont="1">
      <alignment readingOrder="0"/>
    </xf>
    <xf borderId="1" fillId="8" fontId="2" numFmtId="164" xfId="0" applyAlignment="1" applyBorder="1" applyFont="1" applyNumberFormat="1">
      <alignment readingOrder="0"/>
    </xf>
    <xf borderId="1" fillId="8" fontId="2" numFmtId="164" xfId="0" applyBorder="1" applyFont="1" applyNumberFormat="1"/>
    <xf borderId="1" fillId="7" fontId="2" numFmtId="0" xfId="0" applyAlignment="1" applyBorder="1" applyFont="1">
      <alignment readingOrder="0"/>
    </xf>
    <xf borderId="2" fillId="7" fontId="2" numFmtId="0" xfId="0" applyAlignment="1" applyBorder="1" applyFont="1">
      <alignment horizontal="center" readingOrder="0"/>
    </xf>
    <xf borderId="3" fillId="0" fontId="4" numFmtId="0" xfId="0" applyBorder="1" applyFont="1"/>
    <xf borderId="1" fillId="9" fontId="2" numFmtId="0" xfId="0" applyAlignment="1" applyBorder="1" applyFill="1" applyFont="1">
      <alignment readingOrder="0"/>
    </xf>
    <xf borderId="1" fillId="9" fontId="2" numFmtId="164" xfId="0" applyAlignment="1" applyBorder="1" applyFont="1" applyNumberFormat="1">
      <alignment readingOrder="0"/>
    </xf>
    <xf borderId="1" fillId="9" fontId="2" numFmtId="164" xfId="0" applyBorder="1" applyFont="1" applyNumberFormat="1"/>
    <xf borderId="0" fillId="0" fontId="2" numFmtId="164" xfId="0" applyFont="1" applyNumberFormat="1"/>
    <xf borderId="1" fillId="5" fontId="2" numFmtId="0" xfId="0" applyAlignment="1" applyBorder="1" applyFont="1">
      <alignment readingOrder="0"/>
    </xf>
    <xf borderId="2" fillId="5" fontId="2" numFmtId="0" xfId="0" applyAlignment="1" applyBorder="1" applyFont="1">
      <alignment horizontal="center" readingOrder="0"/>
    </xf>
    <xf borderId="1" fillId="10" fontId="2" numFmtId="164" xfId="0" applyAlignment="1" applyBorder="1" applyFill="1" applyFont="1" applyNumberFormat="1">
      <alignment horizontal="center" readingOrder="0"/>
    </xf>
    <xf borderId="0" fillId="5" fontId="2" numFmtId="0" xfId="0" applyAlignment="1" applyFont="1">
      <alignment readingOrder="0"/>
    </xf>
    <xf borderId="1" fillId="5" fontId="2" numFmtId="0" xfId="0" applyAlignment="1" applyBorder="1" applyFont="1">
      <alignment horizontal="center" readingOrder="0"/>
    </xf>
    <xf borderId="1" fillId="6" fontId="2" numFmtId="164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center" readingOrder="0"/>
    </xf>
    <xf borderId="1" fillId="6" fontId="2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1" fillId="0" fontId="2" numFmtId="49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Font="1"/>
    <xf borderId="1" fillId="11" fontId="2" numFmtId="0" xfId="0" applyAlignment="1" applyBorder="1" applyFill="1" applyFont="1">
      <alignment readingOrder="0"/>
    </xf>
    <xf borderId="1" fillId="11" fontId="2" numFmtId="49" xfId="0" applyAlignment="1" applyBorder="1" applyFont="1" applyNumberFormat="1">
      <alignment horizontal="center" readingOrder="0"/>
    </xf>
    <xf borderId="1" fillId="11" fontId="2" numFmtId="164" xfId="0" applyAlignment="1" applyBorder="1" applyFont="1" applyNumberFormat="1">
      <alignment horizontal="center"/>
    </xf>
    <xf borderId="1" fillId="11" fontId="2" numFmtId="0" xfId="0" applyAlignment="1" applyBorder="1" applyFont="1">
      <alignment horizontal="center"/>
    </xf>
    <xf borderId="1" fillId="11" fontId="2" numFmtId="0" xfId="0" applyAlignment="1" applyBorder="1" applyFont="1">
      <alignment horizontal="left" readingOrder="0"/>
    </xf>
    <xf borderId="1" fillId="11" fontId="1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12" fontId="2" numFmtId="0" xfId="0" applyAlignment="1" applyBorder="1" applyFill="1" applyFont="1">
      <alignment horizontal="left" readingOrder="0"/>
    </xf>
    <xf borderId="1" fillId="12" fontId="2" numFmtId="49" xfId="0" applyAlignment="1" applyBorder="1" applyFont="1" applyNumberFormat="1">
      <alignment horizontal="center" readingOrder="0"/>
    </xf>
    <xf borderId="1" fillId="12" fontId="2" numFmtId="164" xfId="0" applyAlignment="1" applyBorder="1" applyFont="1" applyNumberFormat="1">
      <alignment horizontal="center"/>
    </xf>
    <xf borderId="1" fillId="12" fontId="2" numFmtId="0" xfId="0" applyAlignment="1" applyBorder="1" applyFont="1">
      <alignment horizontal="center"/>
    </xf>
    <xf borderId="1" fillId="13" fontId="2" numFmtId="0" xfId="0" applyAlignment="1" applyBorder="1" applyFill="1" applyFont="1">
      <alignment horizontal="left" readingOrder="0"/>
    </xf>
    <xf borderId="1" fillId="13" fontId="2" numFmtId="49" xfId="0" applyAlignment="1" applyBorder="1" applyFont="1" applyNumberFormat="1">
      <alignment horizontal="center" readingOrder="0"/>
    </xf>
    <xf borderId="1" fillId="13" fontId="2" numFmtId="164" xfId="0" applyAlignment="1" applyBorder="1" applyFont="1" applyNumberFormat="1">
      <alignment horizontal="center"/>
    </xf>
    <xf borderId="1" fillId="13" fontId="2" numFmtId="164" xfId="0" applyAlignment="1" applyBorder="1" applyFont="1" applyNumberFormat="1">
      <alignment horizontal="center" readingOrder="0"/>
    </xf>
    <xf borderId="1" fillId="11" fontId="2" numFmtId="0" xfId="0" applyBorder="1" applyFont="1"/>
    <xf borderId="1" fillId="11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11" fontId="1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readingOrder="0"/>
    </xf>
    <xf borderId="4" fillId="0" fontId="2" numFmtId="164" xfId="0" applyBorder="1" applyFont="1" applyNumberFormat="1"/>
    <xf borderId="1" fillId="13" fontId="2" numFmtId="0" xfId="0" applyAlignment="1" applyBorder="1" applyFont="1">
      <alignment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ronogram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F21" displayName="Tabla_1" name="Tabla_1" id="1">
  <tableColumns count="6">
    <tableColumn name="ACTIVIDAD / GESTIÓN" id="1"/>
    <tableColumn name="AGOSTO" id="2"/>
    <tableColumn name="SEPTIEMBRE" id="3"/>
    <tableColumn name="OCTUBRE" id="4"/>
    <tableColumn name="NOVIEMBRE" id="5"/>
    <tableColumn name="DICIEMBRE" id="6"/>
  </tableColumns>
  <tableStyleInfo name="Cronogram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zJ-04vQ-aSan7jn0b0312EqA6QDwH7_jSrR_SnhFNrM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3" max="3" width="27.63"/>
    <col customWidth="1" min="4" max="4" width="25.0"/>
    <col customWidth="1" min="6" max="6" width="26.75"/>
    <col customWidth="1" min="7" max="7" width="26.0"/>
    <col customWidth="1" min="11" max="11" width="33.75"/>
    <col customWidth="1" min="12" max="12" width="21.38"/>
    <col customWidth="1" min="13" max="13" width="16.25"/>
  </cols>
  <sheetData>
    <row r="1">
      <c r="A1" s="1" t="s">
        <v>0</v>
      </c>
      <c r="F1" s="2" t="s">
        <v>1</v>
      </c>
      <c r="G1" s="3">
        <f>L31</f>
        <v>288000000</v>
      </c>
      <c r="K1" s="4" t="s">
        <v>2</v>
      </c>
      <c r="L1" s="4" t="s">
        <v>3</v>
      </c>
      <c r="M1" s="5" t="s">
        <v>4</v>
      </c>
      <c r="N1" s="4" t="s">
        <v>5</v>
      </c>
      <c r="O1" s="4" t="s">
        <v>6</v>
      </c>
    </row>
    <row r="2">
      <c r="A2" s="5" t="s">
        <v>7</v>
      </c>
      <c r="B2" s="4" t="s">
        <v>8</v>
      </c>
      <c r="C2" s="4" t="s">
        <v>9</v>
      </c>
      <c r="D2" s="5" t="s">
        <v>10</v>
      </c>
      <c r="F2" s="6" t="s">
        <v>11</v>
      </c>
      <c r="G2" s="7">
        <f>SUM(C3,C12,E26,D37,C70)</f>
        <v>165865834</v>
      </c>
      <c r="K2" s="8"/>
      <c r="L2" s="8"/>
      <c r="M2" s="9"/>
      <c r="N2" s="10"/>
      <c r="O2" s="10">
        <f>SUM(M2,N2)</f>
        <v>0</v>
      </c>
    </row>
    <row r="3">
      <c r="A3" s="11" t="s">
        <v>12</v>
      </c>
      <c r="B3" s="12">
        <v>1.3685E7</v>
      </c>
      <c r="C3" s="13">
        <f>SUM(B3:B8)</f>
        <v>21535000</v>
      </c>
      <c r="D3" s="14">
        <f>SUM(C3,C12,E26,D37,C70)</f>
        <v>165865834</v>
      </c>
      <c r="F3" s="15" t="s">
        <v>13</v>
      </c>
      <c r="G3" s="16">
        <f>G1-G2</f>
        <v>122134166</v>
      </c>
      <c r="K3" s="8"/>
      <c r="L3" s="8"/>
      <c r="M3" s="9"/>
      <c r="N3" s="10"/>
      <c r="O3" s="10"/>
    </row>
    <row r="4">
      <c r="A4" s="11" t="s">
        <v>14</v>
      </c>
      <c r="B4" s="12">
        <v>5000000.0</v>
      </c>
      <c r="F4" s="5" t="s">
        <v>15</v>
      </c>
      <c r="G4" s="17">
        <f>G3*10.5</f>
        <v>1282408743</v>
      </c>
      <c r="K4" s="8"/>
      <c r="L4" s="8"/>
      <c r="M4" s="9"/>
      <c r="N4" s="10"/>
      <c r="O4" s="10"/>
    </row>
    <row r="5">
      <c r="A5" s="11" t="s">
        <v>16</v>
      </c>
      <c r="B5" s="12">
        <v>800000.0</v>
      </c>
      <c r="F5" s="5" t="s">
        <v>17</v>
      </c>
      <c r="G5" s="17">
        <f>SUM(G4,J31,J32,J33,J34)</f>
        <v>1570408743</v>
      </c>
    </row>
    <row r="6">
      <c r="A6" s="11" t="s">
        <v>18</v>
      </c>
      <c r="B6" s="12">
        <v>250000.0</v>
      </c>
      <c r="F6" s="5" t="s">
        <v>19</v>
      </c>
      <c r="G6" s="14">
        <f>G5*35%</f>
        <v>549643060.1</v>
      </c>
    </row>
    <row r="7">
      <c r="A7" s="11" t="s">
        <v>20</v>
      </c>
      <c r="B7" s="12">
        <v>300000.0</v>
      </c>
      <c r="F7" s="5" t="s">
        <v>21</v>
      </c>
      <c r="G7" s="14">
        <f>G5-G6</f>
        <v>1020765683</v>
      </c>
    </row>
    <row r="8">
      <c r="A8" s="11" t="s">
        <v>22</v>
      </c>
      <c r="B8" s="12">
        <v>1500000.0</v>
      </c>
    </row>
    <row r="11">
      <c r="A11" s="4" t="s">
        <v>23</v>
      </c>
      <c r="B11" s="4" t="s">
        <v>8</v>
      </c>
      <c r="C11" s="4" t="s">
        <v>9</v>
      </c>
      <c r="F11" s="11" t="s">
        <v>24</v>
      </c>
    </row>
    <row r="12">
      <c r="A12" s="8" t="s">
        <v>25</v>
      </c>
      <c r="B12" s="18">
        <v>1.17E7</v>
      </c>
      <c r="C12" s="13">
        <f>SUM(B12:B23)</f>
        <v>46509788</v>
      </c>
      <c r="D12" s="19" t="s">
        <v>26</v>
      </c>
      <c r="F12" s="11" t="s">
        <v>27</v>
      </c>
      <c r="G12" s="14">
        <f>D3/13</f>
        <v>12758910.31</v>
      </c>
    </row>
    <row r="13">
      <c r="A13" s="8" t="s">
        <v>28</v>
      </c>
      <c r="B13" s="18">
        <v>4745000.0</v>
      </c>
      <c r="C13" s="20" t="s">
        <v>29</v>
      </c>
      <c r="F13" s="11" t="s">
        <v>30</v>
      </c>
      <c r="G13" s="14">
        <f>G12/15</f>
        <v>850594.0205</v>
      </c>
    </row>
    <row r="14">
      <c r="A14" s="8" t="s">
        <v>31</v>
      </c>
      <c r="B14" s="18">
        <v>3473500.0</v>
      </c>
      <c r="C14" s="20" t="s">
        <v>32</v>
      </c>
    </row>
    <row r="15">
      <c r="A15" s="8" t="s">
        <v>33</v>
      </c>
      <c r="B15" s="18">
        <v>6500000.0</v>
      </c>
      <c r="C15" s="20" t="s">
        <v>34</v>
      </c>
    </row>
    <row r="16">
      <c r="A16" s="8" t="s">
        <v>35</v>
      </c>
      <c r="B16" s="18">
        <v>3473500.0</v>
      </c>
      <c r="C16" s="20" t="s">
        <v>32</v>
      </c>
    </row>
    <row r="17">
      <c r="A17" s="8" t="s">
        <v>36</v>
      </c>
      <c r="B17" s="18">
        <v>3473500.0</v>
      </c>
      <c r="C17" s="20" t="s">
        <v>32</v>
      </c>
    </row>
    <row r="18">
      <c r="A18" s="8" t="s">
        <v>37</v>
      </c>
      <c r="B18" s="18">
        <v>3473500.0</v>
      </c>
      <c r="C18" s="20" t="s">
        <v>32</v>
      </c>
    </row>
    <row r="19">
      <c r="A19" s="8" t="s">
        <v>38</v>
      </c>
      <c r="B19" s="18">
        <v>2417697.0</v>
      </c>
      <c r="C19" s="20" t="s">
        <v>39</v>
      </c>
    </row>
    <row r="20">
      <c r="A20" s="8" t="s">
        <v>40</v>
      </c>
      <c r="B20" s="18">
        <v>2417697.0</v>
      </c>
      <c r="C20" s="20" t="s">
        <v>39</v>
      </c>
    </row>
    <row r="21">
      <c r="A21" s="8" t="s">
        <v>41</v>
      </c>
      <c r="B21" s="18">
        <v>2417697.0</v>
      </c>
      <c r="C21" s="20" t="s">
        <v>39</v>
      </c>
    </row>
    <row r="22">
      <c r="A22" s="8" t="s">
        <v>42</v>
      </c>
      <c r="B22" s="18">
        <v>2417697.0</v>
      </c>
      <c r="C22" s="20" t="s">
        <v>39</v>
      </c>
    </row>
    <row r="23">
      <c r="A23" s="8"/>
      <c r="B23" s="18"/>
      <c r="C23" s="21"/>
    </row>
    <row r="25">
      <c r="A25" s="4" t="s">
        <v>43</v>
      </c>
      <c r="B25" s="4" t="s">
        <v>44</v>
      </c>
      <c r="C25" s="4" t="s">
        <v>8</v>
      </c>
      <c r="D25" s="4" t="s">
        <v>45</v>
      </c>
      <c r="E25" s="4" t="s">
        <v>9</v>
      </c>
    </row>
    <row r="26">
      <c r="A26" s="8" t="s">
        <v>46</v>
      </c>
      <c r="B26" s="8">
        <v>2.0</v>
      </c>
      <c r="C26" s="18">
        <v>2417697.0</v>
      </c>
      <c r="D26" s="13">
        <f t="shared" ref="D26:D28" si="1">C26*B26</f>
        <v>4835394</v>
      </c>
      <c r="E26" s="14">
        <f>SUM(D26:D28)</f>
        <v>12088485</v>
      </c>
    </row>
    <row r="27">
      <c r="A27" s="8" t="s">
        <v>47</v>
      </c>
      <c r="B27" s="8">
        <v>2.0</v>
      </c>
      <c r="C27" s="18">
        <v>2417697.0</v>
      </c>
      <c r="D27" s="13">
        <f t="shared" si="1"/>
        <v>4835394</v>
      </c>
    </row>
    <row r="28">
      <c r="A28" s="8" t="s">
        <v>48</v>
      </c>
      <c r="B28" s="8">
        <v>1.0</v>
      </c>
      <c r="C28" s="18">
        <v>2417697.0</v>
      </c>
      <c r="D28" s="13">
        <f t="shared" si="1"/>
        <v>2417697</v>
      </c>
    </row>
    <row r="29">
      <c r="G29" s="22" t="s">
        <v>49</v>
      </c>
    </row>
    <row r="30">
      <c r="G30" s="4" t="s">
        <v>50</v>
      </c>
      <c r="H30" s="4" t="s">
        <v>51</v>
      </c>
      <c r="I30" s="4" t="s">
        <v>44</v>
      </c>
      <c r="J30" s="4" t="s">
        <v>45</v>
      </c>
      <c r="K30" s="4" t="s">
        <v>52</v>
      </c>
      <c r="L30" s="5" t="s">
        <v>53</v>
      </c>
    </row>
    <row r="31">
      <c r="A31" s="11" t="s">
        <v>54</v>
      </c>
      <c r="B31" s="23"/>
      <c r="G31" s="24" t="s">
        <v>55</v>
      </c>
      <c r="H31" s="25">
        <v>1200000.0</v>
      </c>
      <c r="I31" s="24">
        <v>60.0</v>
      </c>
      <c r="J31" s="26">
        <f t="shared" ref="J31:J43" si="2">I31*H31</f>
        <v>72000000</v>
      </c>
      <c r="K31" s="26">
        <f>SUM(J31,J32,J33,J34,J38,J39,J35,J36,J37)</f>
        <v>367170000</v>
      </c>
      <c r="L31" s="14">
        <f>SUM(J40,J41,J42,J43)</f>
        <v>288000000</v>
      </c>
    </row>
    <row r="32">
      <c r="A32" s="11" t="s">
        <v>56</v>
      </c>
      <c r="B32" s="27"/>
      <c r="G32" s="24" t="s">
        <v>57</v>
      </c>
      <c r="H32" s="25">
        <v>1400000.0</v>
      </c>
      <c r="I32" s="24">
        <v>45.0</v>
      </c>
      <c r="J32" s="26">
        <f t="shared" si="2"/>
        <v>63000000</v>
      </c>
    </row>
    <row r="33">
      <c r="G33" s="24" t="s">
        <v>58</v>
      </c>
      <c r="H33" s="25">
        <v>1600000.0</v>
      </c>
      <c r="I33" s="24">
        <v>45.0</v>
      </c>
      <c r="J33" s="26">
        <f t="shared" si="2"/>
        <v>72000000</v>
      </c>
    </row>
    <row r="34">
      <c r="G34" s="24" t="s">
        <v>59</v>
      </c>
      <c r="H34" s="25">
        <v>1800000.0</v>
      </c>
      <c r="I34" s="24">
        <v>45.0</v>
      </c>
      <c r="J34" s="26">
        <f t="shared" si="2"/>
        <v>81000000</v>
      </c>
    </row>
    <row r="35">
      <c r="G35" s="28" t="s">
        <v>60</v>
      </c>
      <c r="H35" s="29">
        <v>50000.0</v>
      </c>
      <c r="I35" s="28">
        <v>195.0</v>
      </c>
      <c r="J35" s="30">
        <f t="shared" si="2"/>
        <v>9750000</v>
      </c>
    </row>
    <row r="36">
      <c r="A36" s="5" t="s">
        <v>61</v>
      </c>
      <c r="B36" s="4" t="s">
        <v>62</v>
      </c>
      <c r="C36" s="4" t="s">
        <v>63</v>
      </c>
      <c r="D36" s="4" t="s">
        <v>9</v>
      </c>
      <c r="G36" s="28" t="s">
        <v>64</v>
      </c>
      <c r="H36" s="29">
        <v>66000.0</v>
      </c>
      <c r="I36" s="28">
        <v>195.0</v>
      </c>
      <c r="J36" s="30">
        <f t="shared" si="2"/>
        <v>12870000</v>
      </c>
    </row>
    <row r="37">
      <c r="A37" s="31" t="s">
        <v>65</v>
      </c>
      <c r="B37" s="32">
        <v>1.0</v>
      </c>
      <c r="C37" s="18">
        <v>3473500.0</v>
      </c>
      <c r="D37" s="13">
        <f>SUM(C37:C65)</f>
        <v>83532561</v>
      </c>
      <c r="G37" s="28" t="s">
        <v>66</v>
      </c>
      <c r="H37" s="29">
        <v>60000.0</v>
      </c>
      <c r="I37" s="28">
        <v>195.0</v>
      </c>
      <c r="J37" s="30">
        <f t="shared" si="2"/>
        <v>11700000</v>
      </c>
    </row>
    <row r="38">
      <c r="A38" s="31" t="s">
        <v>67</v>
      </c>
      <c r="B38" s="33"/>
      <c r="C38" s="18">
        <v>2417697.0</v>
      </c>
      <c r="G38" s="28" t="s">
        <v>68</v>
      </c>
      <c r="H38" s="29">
        <v>60000.0</v>
      </c>
      <c r="I38" s="28">
        <v>195.0</v>
      </c>
      <c r="J38" s="30">
        <f t="shared" si="2"/>
        <v>11700000</v>
      </c>
    </row>
    <row r="39">
      <c r="A39" s="31" t="s">
        <v>69</v>
      </c>
      <c r="B39" s="32">
        <v>1.0</v>
      </c>
      <c r="C39" s="18">
        <v>3473500.0</v>
      </c>
      <c r="G39" s="28" t="s">
        <v>70</v>
      </c>
      <c r="H39" s="29">
        <v>170000.0</v>
      </c>
      <c r="I39" s="28">
        <v>195.0</v>
      </c>
      <c r="J39" s="30">
        <f t="shared" si="2"/>
        <v>33150000</v>
      </c>
    </row>
    <row r="40">
      <c r="A40" s="31" t="s">
        <v>71</v>
      </c>
      <c r="B40" s="33"/>
      <c r="C40" s="18">
        <v>2417697.0</v>
      </c>
      <c r="G40" s="34" t="s">
        <v>72</v>
      </c>
      <c r="H40" s="35">
        <v>1200000.0</v>
      </c>
      <c r="I40" s="34">
        <v>60.0</v>
      </c>
      <c r="J40" s="36">
        <f t="shared" si="2"/>
        <v>72000000</v>
      </c>
      <c r="K40" s="19" t="s">
        <v>73</v>
      </c>
    </row>
    <row r="41">
      <c r="A41" s="31" t="s">
        <v>74</v>
      </c>
      <c r="B41" s="32">
        <v>1.0</v>
      </c>
      <c r="C41" s="18">
        <v>3473500.0</v>
      </c>
      <c r="G41" s="34" t="s">
        <v>75</v>
      </c>
      <c r="H41" s="35">
        <v>1400000.0</v>
      </c>
      <c r="I41" s="34">
        <v>45.0</v>
      </c>
      <c r="J41" s="36">
        <f t="shared" si="2"/>
        <v>63000000</v>
      </c>
      <c r="K41" s="37">
        <f>H46*72</f>
        <v>130032000</v>
      </c>
      <c r="L41" s="19" t="s">
        <v>76</v>
      </c>
    </row>
    <row r="42">
      <c r="A42" s="31" t="s">
        <v>77</v>
      </c>
      <c r="B42" s="33"/>
      <c r="C42" s="18">
        <v>2417697.0</v>
      </c>
      <c r="G42" s="34" t="s">
        <v>78</v>
      </c>
      <c r="H42" s="35">
        <v>1600000.0</v>
      </c>
      <c r="I42" s="34">
        <v>45.0</v>
      </c>
      <c r="J42" s="36">
        <f t="shared" si="2"/>
        <v>72000000</v>
      </c>
      <c r="K42" s="37">
        <f>H46*35</f>
        <v>63210000</v>
      </c>
      <c r="L42" s="19" t="s">
        <v>79</v>
      </c>
    </row>
    <row r="43">
      <c r="A43" s="31" t="s">
        <v>80</v>
      </c>
      <c r="B43" s="32">
        <v>1.0</v>
      </c>
      <c r="C43" s="18">
        <v>3473500.0</v>
      </c>
      <c r="G43" s="34" t="s">
        <v>81</v>
      </c>
      <c r="H43" s="35">
        <v>1800000.0</v>
      </c>
      <c r="I43" s="34">
        <v>45.0</v>
      </c>
      <c r="J43" s="36">
        <f t="shared" si="2"/>
        <v>81000000</v>
      </c>
      <c r="K43" s="37">
        <f>H46*16</f>
        <v>28896000</v>
      </c>
      <c r="L43" s="19" t="s">
        <v>82</v>
      </c>
    </row>
    <row r="44">
      <c r="A44" s="31" t="s">
        <v>83</v>
      </c>
      <c r="B44" s="33"/>
      <c r="C44" s="18">
        <v>2417697.0</v>
      </c>
    </row>
    <row r="45">
      <c r="A45" s="38" t="s">
        <v>84</v>
      </c>
      <c r="B45" s="39">
        <v>1.0</v>
      </c>
      <c r="C45" s="18">
        <v>3473500.0</v>
      </c>
      <c r="G45" s="5" t="s">
        <v>85</v>
      </c>
      <c r="H45" s="17">
        <f>SUM(H31,H35,H36,H37,H38,H39)</f>
        <v>1606000</v>
      </c>
      <c r="K45" s="37">
        <f>H46*150</f>
        <v>270900000</v>
      </c>
      <c r="L45" s="19" t="s">
        <v>86</v>
      </c>
      <c r="M45" s="19" t="s">
        <v>87</v>
      </c>
    </row>
    <row r="46">
      <c r="A46" s="38" t="s">
        <v>88</v>
      </c>
      <c r="B46" s="33"/>
      <c r="C46" s="18">
        <v>2417697.0</v>
      </c>
      <c r="G46" s="5" t="s">
        <v>89</v>
      </c>
      <c r="H46" s="17">
        <f>SUM(H32,H35,H36,H37,H38,H39)</f>
        <v>1806000</v>
      </c>
    </row>
    <row r="47">
      <c r="A47" s="38" t="s">
        <v>90</v>
      </c>
      <c r="B47" s="39">
        <v>1.0</v>
      </c>
      <c r="C47" s="18">
        <v>3473500.0</v>
      </c>
      <c r="G47" s="5" t="s">
        <v>91</v>
      </c>
      <c r="H47" s="17">
        <f>SUM(H33,H35,H36,H37,H38,H39)</f>
        <v>2006000</v>
      </c>
    </row>
    <row r="48">
      <c r="A48" s="38" t="s">
        <v>92</v>
      </c>
      <c r="B48" s="33"/>
      <c r="C48" s="18">
        <v>2417697.0</v>
      </c>
      <c r="G48" s="5" t="s">
        <v>93</v>
      </c>
      <c r="H48" s="17">
        <f>SUM(H34,H35,H36,H37,H38,H39)</f>
        <v>2206000</v>
      </c>
    </row>
    <row r="49">
      <c r="A49" s="38" t="s">
        <v>94</v>
      </c>
      <c r="B49" s="39">
        <v>1.0</v>
      </c>
      <c r="C49" s="40" t="s">
        <v>95</v>
      </c>
    </row>
    <row r="50">
      <c r="A50" s="38" t="s">
        <v>96</v>
      </c>
      <c r="B50" s="33"/>
      <c r="C50" s="18">
        <v>2417697.0</v>
      </c>
    </row>
    <row r="51">
      <c r="A51" s="38" t="s">
        <v>97</v>
      </c>
      <c r="B51" s="39">
        <v>1.0</v>
      </c>
      <c r="C51" s="18">
        <v>3473500.0</v>
      </c>
    </row>
    <row r="52">
      <c r="A52" s="38" t="s">
        <v>98</v>
      </c>
      <c r="B52" s="33"/>
      <c r="C52" s="18">
        <v>2417697.0</v>
      </c>
    </row>
    <row r="53">
      <c r="A53" s="38" t="s">
        <v>99</v>
      </c>
      <c r="B53" s="39">
        <v>1.0</v>
      </c>
      <c r="C53" s="18">
        <v>3473500.0</v>
      </c>
      <c r="G53" s="19"/>
    </row>
    <row r="54">
      <c r="A54" s="38" t="s">
        <v>100</v>
      </c>
      <c r="B54" s="33"/>
      <c r="C54" s="18">
        <v>2417697.0</v>
      </c>
      <c r="G54" s="19"/>
    </row>
    <row r="55">
      <c r="A55" s="38" t="s">
        <v>101</v>
      </c>
      <c r="B55" s="39">
        <v>1.0</v>
      </c>
      <c r="C55" s="18">
        <v>3473500.0</v>
      </c>
    </row>
    <row r="56">
      <c r="A56" s="38" t="s">
        <v>102</v>
      </c>
      <c r="B56" s="33"/>
      <c r="C56" s="18">
        <v>2417697.0</v>
      </c>
    </row>
    <row r="57">
      <c r="A57" s="38" t="s">
        <v>103</v>
      </c>
      <c r="B57" s="39">
        <v>1.0</v>
      </c>
      <c r="C57" s="18">
        <v>3473500.0</v>
      </c>
    </row>
    <row r="58">
      <c r="A58" s="38" t="s">
        <v>104</v>
      </c>
      <c r="B58" s="33"/>
      <c r="C58" s="18">
        <v>2417697.0</v>
      </c>
    </row>
    <row r="59">
      <c r="A59" s="38" t="s">
        <v>105</v>
      </c>
      <c r="B59" s="39">
        <v>1.0</v>
      </c>
      <c r="C59" s="18">
        <v>3473500.0</v>
      </c>
    </row>
    <row r="60">
      <c r="A60" s="38" t="s">
        <v>106</v>
      </c>
      <c r="B60" s="33"/>
      <c r="C60" s="18">
        <v>2417697.0</v>
      </c>
    </row>
    <row r="61">
      <c r="A61" s="41" t="s">
        <v>107</v>
      </c>
      <c r="B61" s="39">
        <v>1.0</v>
      </c>
      <c r="C61" s="18">
        <v>3473500.0</v>
      </c>
    </row>
    <row r="62">
      <c r="A62" s="38" t="s">
        <v>108</v>
      </c>
      <c r="B62" s="33"/>
      <c r="C62" s="18">
        <v>2417697.0</v>
      </c>
    </row>
    <row r="63">
      <c r="A63" s="38" t="s">
        <v>109</v>
      </c>
      <c r="B63" s="39">
        <v>1.0</v>
      </c>
      <c r="C63" s="18">
        <v>3473500.0</v>
      </c>
    </row>
    <row r="64">
      <c r="A64" s="38" t="s">
        <v>110</v>
      </c>
      <c r="B64" s="33"/>
      <c r="C64" s="18">
        <v>3473500.0</v>
      </c>
    </row>
    <row r="65">
      <c r="A65" s="38" t="s">
        <v>111</v>
      </c>
      <c r="B65" s="42" t="s">
        <v>112</v>
      </c>
      <c r="C65" s="18">
        <v>3473500.0</v>
      </c>
    </row>
    <row r="69">
      <c r="A69" s="4" t="s">
        <v>113</v>
      </c>
      <c r="B69" s="4" t="s">
        <v>8</v>
      </c>
      <c r="C69" s="4" t="s">
        <v>9</v>
      </c>
    </row>
    <row r="70">
      <c r="A70" s="11" t="s">
        <v>114</v>
      </c>
      <c r="B70" s="12">
        <v>700000.0</v>
      </c>
      <c r="C70" s="14">
        <f>SUM(B70,B71)</f>
        <v>2200000</v>
      </c>
    </row>
    <row r="71">
      <c r="A71" s="11" t="s">
        <v>115</v>
      </c>
      <c r="B71" s="12">
        <v>1500000.0</v>
      </c>
    </row>
  </sheetData>
  <mergeCells count="14">
    <mergeCell ref="B51:B52"/>
    <mergeCell ref="B53:B54"/>
    <mergeCell ref="B55:B56"/>
    <mergeCell ref="B57:B58"/>
    <mergeCell ref="B59:B60"/>
    <mergeCell ref="B61:B62"/>
    <mergeCell ref="B63:B64"/>
    <mergeCell ref="B37:B38"/>
    <mergeCell ref="B39:B40"/>
    <mergeCell ref="B41:B42"/>
    <mergeCell ref="B43:B44"/>
    <mergeCell ref="B45:B46"/>
    <mergeCell ref="B47:B48"/>
    <mergeCell ref="B49:B50"/>
  </mergeCells>
  <hyperlinks>
    <hyperlink r:id="rId1" ref="G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2.25"/>
    <col customWidth="1" min="3" max="3" width="13.63"/>
    <col customWidth="1" min="4" max="4" width="18.88"/>
    <col customWidth="1" min="5" max="5" width="20.88"/>
    <col customWidth="1" min="6" max="6" width="14.75"/>
    <col customWidth="1" min="7" max="7" width="20.25"/>
    <col customWidth="1" min="8" max="8" width="13.38"/>
    <col customWidth="1" min="9" max="9" width="10.75"/>
    <col customWidth="1" min="10" max="10" width="22.63"/>
  </cols>
  <sheetData>
    <row r="1">
      <c r="A1" s="5" t="s">
        <v>7</v>
      </c>
      <c r="B1" s="4" t="s">
        <v>8</v>
      </c>
      <c r="C1" s="4" t="s">
        <v>9</v>
      </c>
      <c r="D1" s="5" t="s">
        <v>10</v>
      </c>
      <c r="F1" s="5" t="s">
        <v>116</v>
      </c>
      <c r="G1" s="14">
        <f>SUM(K10,K11,K12,K13,K14,K15)</f>
        <v>18240000</v>
      </c>
    </row>
    <row r="2">
      <c r="A2" s="11" t="s">
        <v>12</v>
      </c>
      <c r="B2" s="12">
        <v>6000000.0</v>
      </c>
      <c r="C2" s="13">
        <f>SUM(B2:B7)</f>
        <v>9550000</v>
      </c>
      <c r="D2" s="14">
        <f>SUM(C2,C11,E25,D36,C69,D10,D11,D12,D13,D14,D15,D16,D17)</f>
        <v>12110008</v>
      </c>
      <c r="F2" s="5" t="s">
        <v>117</v>
      </c>
      <c r="G2" s="14">
        <f>D2</f>
        <v>12110008</v>
      </c>
    </row>
    <row r="3">
      <c r="A3" s="11" t="s">
        <v>14</v>
      </c>
      <c r="B3" s="12">
        <v>2500000.0</v>
      </c>
      <c r="F3" s="5" t="s">
        <v>118</v>
      </c>
      <c r="G3" s="14">
        <f>G1-G2</f>
        <v>6129992</v>
      </c>
    </row>
    <row r="4">
      <c r="A4" s="11" t="s">
        <v>16</v>
      </c>
      <c r="B4" s="12">
        <v>250000.0</v>
      </c>
    </row>
    <row r="5">
      <c r="A5" s="11" t="s">
        <v>18</v>
      </c>
      <c r="B5" s="12">
        <v>200000.0</v>
      </c>
    </row>
    <row r="6">
      <c r="A6" s="11" t="s">
        <v>20</v>
      </c>
      <c r="B6" s="12">
        <v>100000.0</v>
      </c>
    </row>
    <row r="7">
      <c r="A7" s="11" t="s">
        <v>22</v>
      </c>
      <c r="B7" s="12">
        <v>500000.0</v>
      </c>
    </row>
    <row r="9">
      <c r="A9" s="4" t="s">
        <v>119</v>
      </c>
      <c r="B9" s="4" t="s">
        <v>120</v>
      </c>
      <c r="C9" s="4" t="s">
        <v>121</v>
      </c>
      <c r="D9" s="4" t="s">
        <v>122</v>
      </c>
      <c r="G9" s="4" t="s">
        <v>50</v>
      </c>
      <c r="H9" s="4" t="s">
        <v>51</v>
      </c>
      <c r="I9" s="4" t="s">
        <v>123</v>
      </c>
      <c r="J9" s="4" t="s">
        <v>124</v>
      </c>
      <c r="K9" s="4" t="s">
        <v>45</v>
      </c>
    </row>
    <row r="10">
      <c r="A10" s="11" t="s">
        <v>125</v>
      </c>
      <c r="B10" s="18">
        <v>40000.0</v>
      </c>
      <c r="C10" s="8">
        <v>8.0</v>
      </c>
      <c r="D10" s="13">
        <f t="shared" ref="D10:D17" si="1">B10*C10</f>
        <v>320000</v>
      </c>
      <c r="G10" s="24" t="s">
        <v>126</v>
      </c>
      <c r="H10" s="43">
        <v>70000.0</v>
      </c>
      <c r="I10" s="44">
        <v>4.0</v>
      </c>
      <c r="J10" s="44">
        <v>8.0</v>
      </c>
      <c r="K10" s="45">
        <f t="shared" ref="K10:K13" si="2">I10*H10*J10</f>
        <v>2240000</v>
      </c>
    </row>
    <row r="11">
      <c r="A11" s="11" t="s">
        <v>127</v>
      </c>
      <c r="B11" s="18">
        <v>40000.0</v>
      </c>
      <c r="C11" s="8">
        <v>8.0</v>
      </c>
      <c r="D11" s="13">
        <f t="shared" si="1"/>
        <v>320000</v>
      </c>
      <c r="G11" s="24" t="s">
        <v>128</v>
      </c>
      <c r="H11" s="43">
        <v>70000.0</v>
      </c>
      <c r="I11" s="44">
        <v>4.0</v>
      </c>
      <c r="J11" s="44">
        <v>8.0</v>
      </c>
      <c r="K11" s="45">
        <f t="shared" si="2"/>
        <v>2240000</v>
      </c>
    </row>
    <row r="12">
      <c r="A12" s="11" t="s">
        <v>129</v>
      </c>
      <c r="B12" s="18">
        <v>40000.0</v>
      </c>
      <c r="C12" s="8">
        <v>8.0</v>
      </c>
      <c r="D12" s="13">
        <f t="shared" si="1"/>
        <v>320000</v>
      </c>
      <c r="G12" s="24" t="s">
        <v>130</v>
      </c>
      <c r="H12" s="43">
        <v>70000.0</v>
      </c>
      <c r="I12" s="44">
        <v>4.0</v>
      </c>
      <c r="J12" s="44">
        <v>8.0</v>
      </c>
      <c r="K12" s="45">
        <f t="shared" si="2"/>
        <v>2240000</v>
      </c>
    </row>
    <row r="13">
      <c r="A13" s="11" t="s">
        <v>131</v>
      </c>
      <c r="B13" s="18">
        <v>40000.0</v>
      </c>
      <c r="C13" s="8">
        <v>8.0</v>
      </c>
      <c r="D13" s="13">
        <f t="shared" si="1"/>
        <v>320000</v>
      </c>
      <c r="G13" s="24" t="s">
        <v>132</v>
      </c>
      <c r="H13" s="43">
        <v>80000.0</v>
      </c>
      <c r="I13" s="44">
        <v>6.0</v>
      </c>
      <c r="J13" s="44">
        <v>8.0</v>
      </c>
      <c r="K13" s="45">
        <f t="shared" si="2"/>
        <v>3840000</v>
      </c>
    </row>
    <row r="14">
      <c r="A14" s="11" t="s">
        <v>133</v>
      </c>
      <c r="B14" s="18">
        <v>40000.0</v>
      </c>
      <c r="C14" s="8">
        <v>8.0</v>
      </c>
      <c r="D14" s="13">
        <f t="shared" si="1"/>
        <v>320000</v>
      </c>
      <c r="G14" s="11" t="s">
        <v>134</v>
      </c>
      <c r="H14" s="43">
        <v>80000.0</v>
      </c>
      <c r="I14" s="8">
        <v>6.0</v>
      </c>
      <c r="J14" s="44">
        <v>8.0</v>
      </c>
      <c r="K14" s="13">
        <f t="shared" ref="K14:K15" si="3">H14*I14*J14</f>
        <v>3840000</v>
      </c>
    </row>
    <row r="15">
      <c r="A15" s="11" t="s">
        <v>135</v>
      </c>
      <c r="B15" s="18">
        <v>40000.0</v>
      </c>
      <c r="C15" s="8">
        <v>8.0</v>
      </c>
      <c r="D15" s="13">
        <f t="shared" si="1"/>
        <v>320000</v>
      </c>
      <c r="G15" s="11" t="s">
        <v>136</v>
      </c>
      <c r="H15" s="43">
        <v>80000.0</v>
      </c>
      <c r="I15" s="8">
        <v>6.0</v>
      </c>
      <c r="J15" s="44">
        <v>8.0</v>
      </c>
      <c r="K15" s="13">
        <f t="shared" si="3"/>
        <v>3840000</v>
      </c>
    </row>
    <row r="16">
      <c r="A16" s="11" t="s">
        <v>137</v>
      </c>
      <c r="B16" s="18">
        <v>40000.0</v>
      </c>
      <c r="C16" s="8">
        <v>8.0</v>
      </c>
      <c r="D16" s="13">
        <f t="shared" si="1"/>
        <v>320000</v>
      </c>
    </row>
    <row r="17">
      <c r="A17" s="11" t="s">
        <v>138</v>
      </c>
      <c r="B17" s="18">
        <v>40000.0</v>
      </c>
      <c r="C17" s="8">
        <v>8.0</v>
      </c>
      <c r="D17" s="13">
        <f t="shared" si="1"/>
        <v>320000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  <col customWidth="1" min="2" max="2" width="12.13"/>
    <col customWidth="1" min="3" max="3" width="15.5"/>
    <col customWidth="1" min="4" max="4" width="12.88"/>
    <col customWidth="1" min="5" max="5" width="14.88"/>
    <col customWidth="1" min="6" max="6" width="14.13"/>
  </cols>
  <sheetData>
    <row r="1">
      <c r="A1" s="1" t="s">
        <v>139</v>
      </c>
    </row>
    <row r="2">
      <c r="A2" s="1"/>
      <c r="B2" s="46"/>
      <c r="C2" s="46"/>
      <c r="D2" s="46"/>
      <c r="E2" s="46"/>
      <c r="F2" s="46"/>
    </row>
    <row r="3" ht="22.5" customHeight="1">
      <c r="A3" s="47" t="s">
        <v>140</v>
      </c>
      <c r="B3" s="48" t="s">
        <v>141</v>
      </c>
      <c r="C3" s="48" t="s">
        <v>142</v>
      </c>
      <c r="D3" s="48" t="s">
        <v>143</v>
      </c>
      <c r="E3" s="48" t="s">
        <v>144</v>
      </c>
      <c r="F3" s="48" t="s">
        <v>145</v>
      </c>
    </row>
    <row r="4" ht="22.5" customHeight="1">
      <c r="A4" s="49" t="s">
        <v>146</v>
      </c>
      <c r="B4" s="50" t="s">
        <v>147</v>
      </c>
      <c r="C4" s="51"/>
      <c r="D4" s="51"/>
      <c r="E4" s="51"/>
      <c r="F4" s="51"/>
    </row>
    <row r="5" ht="22.5" customHeight="1">
      <c r="A5" s="49" t="s">
        <v>148</v>
      </c>
      <c r="B5" s="50" t="s">
        <v>147</v>
      </c>
      <c r="C5" s="51"/>
      <c r="D5" s="51"/>
      <c r="E5" s="51"/>
      <c r="F5" s="51"/>
    </row>
    <row r="6" ht="22.5" customHeight="1">
      <c r="A6" s="49" t="s">
        <v>149</v>
      </c>
      <c r="B6" s="50" t="s">
        <v>147</v>
      </c>
      <c r="C6" s="50" t="s">
        <v>147</v>
      </c>
      <c r="D6" s="51"/>
      <c r="E6" s="51"/>
      <c r="F6" s="51"/>
    </row>
    <row r="7" ht="22.5" customHeight="1">
      <c r="A7" s="49" t="s">
        <v>150</v>
      </c>
      <c r="B7" s="50" t="s">
        <v>147</v>
      </c>
      <c r="C7" s="50" t="s">
        <v>147</v>
      </c>
      <c r="D7" s="51"/>
      <c r="E7" s="51"/>
      <c r="F7" s="51"/>
    </row>
    <row r="8" ht="22.5" customHeight="1">
      <c r="A8" s="49" t="s">
        <v>151</v>
      </c>
      <c r="B8" s="50" t="s">
        <v>147</v>
      </c>
      <c r="C8" s="50" t="s">
        <v>147</v>
      </c>
      <c r="D8" s="50" t="s">
        <v>147</v>
      </c>
      <c r="E8" s="51"/>
      <c r="F8" s="51"/>
    </row>
    <row r="9" ht="22.5" customHeight="1">
      <c r="A9" s="49" t="s">
        <v>152</v>
      </c>
      <c r="B9" s="51"/>
      <c r="C9" s="51"/>
      <c r="D9" s="50"/>
      <c r="E9" s="50" t="s">
        <v>147</v>
      </c>
      <c r="F9" s="51"/>
    </row>
    <row r="10" ht="22.5" customHeight="1">
      <c r="A10" s="49" t="s">
        <v>153</v>
      </c>
      <c r="B10" s="50" t="s">
        <v>147</v>
      </c>
      <c r="C10" s="50" t="s">
        <v>147</v>
      </c>
      <c r="D10" s="50" t="s">
        <v>147</v>
      </c>
      <c r="E10" s="50" t="s">
        <v>147</v>
      </c>
      <c r="F10" s="50" t="s">
        <v>147</v>
      </c>
    </row>
    <row r="11" ht="22.5" customHeight="1">
      <c r="A11" s="49" t="s">
        <v>154</v>
      </c>
      <c r="B11" s="51"/>
      <c r="C11" s="50" t="s">
        <v>147</v>
      </c>
      <c r="D11" s="51"/>
      <c r="E11" s="51"/>
      <c r="F11" s="51"/>
    </row>
    <row r="12" ht="22.5" customHeight="1">
      <c r="A12" s="49" t="s">
        <v>155</v>
      </c>
      <c r="B12" s="51"/>
      <c r="C12" s="50" t="s">
        <v>147</v>
      </c>
      <c r="D12" s="51"/>
      <c r="E12" s="51"/>
      <c r="F12" s="51"/>
    </row>
    <row r="13" ht="22.5" customHeight="1">
      <c r="A13" s="49" t="s">
        <v>156</v>
      </c>
      <c r="B13" s="51"/>
      <c r="C13" s="51"/>
      <c r="D13" s="50" t="s">
        <v>147</v>
      </c>
      <c r="E13" s="51"/>
      <c r="F13" s="51"/>
    </row>
    <row r="14" ht="22.5" customHeight="1">
      <c r="A14" s="49" t="s">
        <v>157</v>
      </c>
      <c r="B14" s="51"/>
      <c r="C14" s="51"/>
      <c r="D14" s="50" t="s">
        <v>147</v>
      </c>
      <c r="E14" s="51"/>
      <c r="F14" s="51"/>
    </row>
    <row r="15" ht="22.5" customHeight="1">
      <c r="A15" s="49" t="s">
        <v>158</v>
      </c>
      <c r="B15" s="51"/>
      <c r="C15" s="50" t="s">
        <v>147</v>
      </c>
      <c r="D15" s="50" t="s">
        <v>147</v>
      </c>
      <c r="E15" s="50" t="s">
        <v>147</v>
      </c>
      <c r="F15" s="50" t="s">
        <v>147</v>
      </c>
    </row>
    <row r="16" ht="22.5" customHeight="1">
      <c r="A16" s="49" t="s">
        <v>159</v>
      </c>
      <c r="B16" s="51"/>
      <c r="C16" s="50"/>
      <c r="D16" s="50"/>
      <c r="E16" s="50" t="s">
        <v>147</v>
      </c>
      <c r="F16" s="50"/>
    </row>
    <row r="17" ht="22.5" customHeight="1">
      <c r="A17" s="49" t="s">
        <v>160</v>
      </c>
      <c r="B17" s="51"/>
      <c r="C17" s="51"/>
      <c r="D17" s="50" t="s">
        <v>147</v>
      </c>
      <c r="E17" s="50" t="s">
        <v>147</v>
      </c>
      <c r="F17" s="51"/>
    </row>
    <row r="18" ht="22.5" customHeight="1">
      <c r="A18" s="49" t="s">
        <v>161</v>
      </c>
      <c r="B18" s="51"/>
      <c r="C18" s="51"/>
      <c r="D18" s="51"/>
      <c r="E18" s="50" t="s">
        <v>147</v>
      </c>
      <c r="F18" s="50" t="s">
        <v>147</v>
      </c>
    </row>
    <row r="19" ht="22.5" customHeight="1">
      <c r="A19" s="49" t="s">
        <v>162</v>
      </c>
      <c r="B19" s="51"/>
      <c r="C19" s="51"/>
      <c r="D19" s="50" t="s">
        <v>147</v>
      </c>
      <c r="E19" s="50" t="s">
        <v>147</v>
      </c>
      <c r="F19" s="51"/>
    </row>
    <row r="20" ht="22.5" customHeight="1">
      <c r="A20" s="49" t="s">
        <v>163</v>
      </c>
      <c r="B20" s="51"/>
      <c r="C20" s="51"/>
      <c r="D20" s="51"/>
      <c r="E20" s="51"/>
      <c r="F20" s="50" t="s">
        <v>147</v>
      </c>
    </row>
    <row r="21" ht="22.5" customHeight="1">
      <c r="A21" s="49" t="s">
        <v>164</v>
      </c>
      <c r="B21" s="51"/>
      <c r="C21" s="51"/>
      <c r="D21" s="51"/>
      <c r="E21" s="51"/>
      <c r="F21" s="50" t="s">
        <v>147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88"/>
    <col customWidth="1" min="6" max="6" width="25.88"/>
    <col customWidth="1" min="7" max="7" width="26.0"/>
    <col customWidth="1" min="8" max="8" width="13.25"/>
    <col customWidth="1" min="11" max="11" width="33.75"/>
    <col customWidth="1" min="12" max="12" width="20.88"/>
    <col customWidth="1" min="13" max="13" width="16.25"/>
  </cols>
  <sheetData>
    <row r="1">
      <c r="A1" s="1" t="s">
        <v>165</v>
      </c>
      <c r="D1" s="21"/>
      <c r="F1" s="1"/>
      <c r="K1" s="52"/>
      <c r="L1" s="4"/>
      <c r="M1" s="5"/>
      <c r="N1" s="4"/>
      <c r="O1" s="4"/>
    </row>
    <row r="2">
      <c r="A2" s="4" t="s">
        <v>166</v>
      </c>
      <c r="B2" s="4" t="s">
        <v>44</v>
      </c>
      <c r="C2" s="4" t="s">
        <v>167</v>
      </c>
      <c r="D2" s="4" t="s">
        <v>122</v>
      </c>
      <c r="F2" s="4" t="s">
        <v>9</v>
      </c>
      <c r="G2" s="11" t="s">
        <v>168</v>
      </c>
      <c r="H2" s="11" t="s">
        <v>169</v>
      </c>
      <c r="K2" s="53"/>
      <c r="L2" s="8"/>
      <c r="M2" s="9"/>
      <c r="N2" s="10"/>
      <c r="O2" s="10"/>
    </row>
    <row r="3">
      <c r="A3" s="11" t="s">
        <v>170</v>
      </c>
      <c r="B3" s="54" t="s">
        <v>171</v>
      </c>
      <c r="C3" s="18">
        <v>480000.0</v>
      </c>
      <c r="D3" s="13">
        <f t="shared" ref="D3:D9" si="1">C3*B3</f>
        <v>4800000</v>
      </c>
      <c r="F3" s="55">
        <f>SUM(D3:D43)</f>
        <v>144719684</v>
      </c>
      <c r="G3" s="12">
        <v>0.0</v>
      </c>
      <c r="H3" s="14">
        <f>F3-G3</f>
        <v>144719684</v>
      </c>
      <c r="K3" s="53"/>
      <c r="L3" s="8"/>
      <c r="M3" s="9"/>
      <c r="N3" s="10"/>
      <c r="O3" s="10"/>
    </row>
    <row r="4">
      <c r="A4" s="11" t="s">
        <v>172</v>
      </c>
      <c r="B4" s="54" t="s">
        <v>173</v>
      </c>
      <c r="C4" s="18">
        <v>250000.0</v>
      </c>
      <c r="D4" s="13">
        <f t="shared" si="1"/>
        <v>10000000</v>
      </c>
      <c r="F4" s="1"/>
      <c r="G4" s="56"/>
      <c r="K4" s="53"/>
      <c r="L4" s="8"/>
      <c r="M4" s="9"/>
      <c r="N4" s="10"/>
      <c r="O4" s="10"/>
    </row>
    <row r="5">
      <c r="A5" s="11" t="s">
        <v>174</v>
      </c>
      <c r="B5" s="54" t="s">
        <v>175</v>
      </c>
      <c r="C5" s="18">
        <v>185000.0</v>
      </c>
      <c r="D5" s="13">
        <f t="shared" si="1"/>
        <v>14800000</v>
      </c>
      <c r="F5" s="1"/>
      <c r="G5" s="56"/>
    </row>
    <row r="6">
      <c r="A6" s="11" t="s">
        <v>176</v>
      </c>
      <c r="B6" s="54" t="s">
        <v>177</v>
      </c>
      <c r="C6" s="18">
        <v>125000.0</v>
      </c>
      <c r="D6" s="13">
        <f t="shared" si="1"/>
        <v>2500000</v>
      </c>
      <c r="F6" s="1"/>
    </row>
    <row r="7">
      <c r="A7" s="11" t="s">
        <v>178</v>
      </c>
      <c r="B7" s="54" t="s">
        <v>171</v>
      </c>
      <c r="C7" s="18">
        <v>200000.0</v>
      </c>
      <c r="D7" s="13">
        <f t="shared" si="1"/>
        <v>2000000</v>
      </c>
      <c r="F7" s="1"/>
    </row>
    <row r="8">
      <c r="A8" s="11" t="s">
        <v>179</v>
      </c>
      <c r="B8" s="54" t="s">
        <v>171</v>
      </c>
      <c r="C8" s="18">
        <v>415000.0</v>
      </c>
      <c r="D8" s="13">
        <f t="shared" si="1"/>
        <v>4150000</v>
      </c>
    </row>
    <row r="9">
      <c r="A9" s="11" t="s">
        <v>180</v>
      </c>
      <c r="B9" s="54" t="s">
        <v>171</v>
      </c>
      <c r="C9" s="18">
        <v>110000.0</v>
      </c>
      <c r="D9" s="13">
        <f t="shared" si="1"/>
        <v>1100000</v>
      </c>
    </row>
    <row r="10">
      <c r="A10" s="57" t="s">
        <v>181</v>
      </c>
      <c r="B10" s="58" t="s">
        <v>171</v>
      </c>
      <c r="C10" s="59"/>
      <c r="D10" s="60"/>
    </row>
    <row r="11">
      <c r="A11" s="61" t="s">
        <v>182</v>
      </c>
      <c r="B11" s="58" t="s">
        <v>171</v>
      </c>
      <c r="C11" s="62"/>
      <c r="D11" s="60"/>
    </row>
    <row r="12">
      <c r="A12" s="63" t="s">
        <v>183</v>
      </c>
      <c r="B12" s="54" t="s">
        <v>184</v>
      </c>
      <c r="C12" s="18">
        <v>50000.0</v>
      </c>
      <c r="D12" s="13">
        <f t="shared" ref="D12:D17" si="2">C12*B12</f>
        <v>600000</v>
      </c>
    </row>
    <row r="13">
      <c r="A13" s="63" t="s">
        <v>185</v>
      </c>
      <c r="B13" s="54" t="s">
        <v>175</v>
      </c>
      <c r="C13" s="18">
        <v>20000.0</v>
      </c>
      <c r="D13" s="13">
        <f t="shared" si="2"/>
        <v>1600000</v>
      </c>
    </row>
    <row r="14">
      <c r="A14" s="63" t="s">
        <v>186</v>
      </c>
      <c r="B14" s="54" t="s">
        <v>175</v>
      </c>
      <c r="C14" s="18">
        <v>30000.0</v>
      </c>
      <c r="D14" s="13">
        <f t="shared" si="2"/>
        <v>2400000</v>
      </c>
    </row>
    <row r="15">
      <c r="A15" s="63" t="s">
        <v>187</v>
      </c>
      <c r="B15" s="54" t="s">
        <v>188</v>
      </c>
      <c r="C15" s="18">
        <v>40000.0</v>
      </c>
      <c r="D15" s="13">
        <f t="shared" si="2"/>
        <v>1200000</v>
      </c>
    </row>
    <row r="16">
      <c r="A16" s="63" t="s">
        <v>189</v>
      </c>
      <c r="B16" s="54" t="s">
        <v>171</v>
      </c>
      <c r="C16" s="18">
        <v>70000.0</v>
      </c>
      <c r="D16" s="13">
        <f t="shared" si="2"/>
        <v>700000</v>
      </c>
    </row>
    <row r="17">
      <c r="A17" s="63" t="s">
        <v>190</v>
      </c>
      <c r="B17" s="54" t="s">
        <v>171</v>
      </c>
      <c r="C17" s="18">
        <v>1600000.0</v>
      </c>
      <c r="D17" s="13">
        <f t="shared" si="2"/>
        <v>16000000</v>
      </c>
    </row>
    <row r="18">
      <c r="A18" s="64" t="s">
        <v>191</v>
      </c>
      <c r="B18" s="65"/>
      <c r="C18" s="66"/>
      <c r="D18" s="67"/>
    </row>
    <row r="19">
      <c r="A19" s="63" t="s">
        <v>192</v>
      </c>
      <c r="B19" s="54" t="s">
        <v>171</v>
      </c>
      <c r="C19" s="18">
        <v>80000.0</v>
      </c>
      <c r="D19" s="13">
        <f t="shared" ref="D19:D20" si="3">C19*B19</f>
        <v>800000</v>
      </c>
    </row>
    <row r="20">
      <c r="A20" s="63" t="s">
        <v>193</v>
      </c>
      <c r="B20" s="54" t="s">
        <v>184</v>
      </c>
      <c r="C20" s="18">
        <v>70000.0</v>
      </c>
      <c r="D20" s="13">
        <f t="shared" si="3"/>
        <v>840000</v>
      </c>
    </row>
    <row r="21">
      <c r="A21" s="68" t="s">
        <v>194</v>
      </c>
      <c r="B21" s="69" t="s">
        <v>195</v>
      </c>
      <c r="C21" s="70"/>
      <c r="D21" s="71">
        <v>1000000.0</v>
      </c>
    </row>
    <row r="22">
      <c r="A22" s="68" t="s">
        <v>196</v>
      </c>
      <c r="B22" s="69" t="s">
        <v>197</v>
      </c>
      <c r="C22" s="70"/>
      <c r="D22" s="71">
        <v>500000.0</v>
      </c>
    </row>
    <row r="23">
      <c r="A23" s="63" t="s">
        <v>198</v>
      </c>
      <c r="B23" s="54" t="s">
        <v>199</v>
      </c>
      <c r="C23" s="18">
        <v>500000.0</v>
      </c>
      <c r="D23" s="13">
        <f t="shared" ref="D23:D26" si="4">C23*B23</f>
        <v>2000000</v>
      </c>
    </row>
    <row r="24">
      <c r="A24" s="63" t="s">
        <v>200</v>
      </c>
      <c r="B24" s="54" t="s">
        <v>201</v>
      </c>
      <c r="C24" s="12">
        <v>2200000.0</v>
      </c>
      <c r="D24" s="13">
        <f t="shared" si="4"/>
        <v>6600000</v>
      </c>
    </row>
    <row r="25">
      <c r="A25" s="63" t="s">
        <v>202</v>
      </c>
      <c r="B25" s="54" t="s">
        <v>203</v>
      </c>
      <c r="C25" s="18">
        <v>700000.0</v>
      </c>
      <c r="D25" s="18">
        <f t="shared" si="4"/>
        <v>1400000</v>
      </c>
      <c r="E25" s="46"/>
    </row>
    <row r="26">
      <c r="A26" s="63" t="s">
        <v>204</v>
      </c>
      <c r="B26" s="54" t="s">
        <v>205</v>
      </c>
      <c r="C26" s="18">
        <v>2000000.0</v>
      </c>
      <c r="D26" s="13">
        <f t="shared" si="4"/>
        <v>2000000</v>
      </c>
    </row>
    <row r="27">
      <c r="A27" s="68" t="s">
        <v>206</v>
      </c>
      <c r="B27" s="69" t="s">
        <v>205</v>
      </c>
      <c r="C27" s="71"/>
      <c r="D27" s="71">
        <v>3000000.0</v>
      </c>
    </row>
    <row r="28">
      <c r="A28" s="63" t="s">
        <v>207</v>
      </c>
      <c r="B28" s="54" t="s">
        <v>208</v>
      </c>
      <c r="C28" s="18"/>
      <c r="D28" s="18">
        <v>3000000.0</v>
      </c>
    </row>
    <row r="29">
      <c r="A29" s="61" t="s">
        <v>209</v>
      </c>
      <c r="B29" s="58" t="s">
        <v>171</v>
      </c>
      <c r="C29" s="72"/>
      <c r="D29" s="73">
        <v>1000000.0</v>
      </c>
      <c r="G29" s="74"/>
    </row>
    <row r="30">
      <c r="A30" s="57" t="s">
        <v>210</v>
      </c>
      <c r="B30" s="58" t="s">
        <v>211</v>
      </c>
      <c r="C30" s="75"/>
      <c r="D30" s="73">
        <v>1000000.0</v>
      </c>
      <c r="G30" s="46"/>
      <c r="H30" s="46"/>
      <c r="I30" s="46"/>
      <c r="J30" s="46" t="s">
        <v>45</v>
      </c>
      <c r="K30" s="52" t="s">
        <v>52</v>
      </c>
      <c r="L30" s="5" t="s">
        <v>53</v>
      </c>
    </row>
    <row r="31">
      <c r="A31" s="57" t="s">
        <v>212</v>
      </c>
      <c r="B31" s="58" t="s">
        <v>171</v>
      </c>
      <c r="C31" s="73"/>
      <c r="D31" s="73">
        <v>1000000.0</v>
      </c>
      <c r="G31" s="19"/>
      <c r="H31" s="76"/>
      <c r="I31" s="19"/>
      <c r="J31" s="37">
        <f t="shared" ref="J31:J43" si="5">I31*H31</f>
        <v>0</v>
      </c>
      <c r="K31" s="77">
        <f>SUM(J31,J32,J33,J34,J35,J36,J37,J38,J39)</f>
        <v>0</v>
      </c>
      <c r="L31" s="14">
        <f>SUM(J40,J41,J42,J43)</f>
        <v>0</v>
      </c>
    </row>
    <row r="32">
      <c r="A32" s="11" t="s">
        <v>213</v>
      </c>
      <c r="B32" s="54" t="s">
        <v>175</v>
      </c>
      <c r="C32" s="18">
        <v>26000.0</v>
      </c>
      <c r="D32" s="13">
        <f t="shared" ref="D32:D34" si="6">C32*B32</f>
        <v>2080000</v>
      </c>
      <c r="G32" s="19"/>
      <c r="H32" s="76"/>
      <c r="I32" s="19"/>
      <c r="J32" s="37">
        <f t="shared" si="5"/>
        <v>0</v>
      </c>
    </row>
    <row r="33">
      <c r="A33" s="11" t="s">
        <v>214</v>
      </c>
      <c r="B33" s="54" t="s">
        <v>177</v>
      </c>
      <c r="C33" s="18">
        <v>175000.0</v>
      </c>
      <c r="D33" s="13">
        <f t="shared" si="6"/>
        <v>3500000</v>
      </c>
      <c r="G33" s="19"/>
      <c r="H33" s="76"/>
      <c r="I33" s="19"/>
      <c r="J33" s="37">
        <f t="shared" si="5"/>
        <v>0</v>
      </c>
    </row>
    <row r="34">
      <c r="A34" s="11" t="s">
        <v>215</v>
      </c>
      <c r="B34" s="54" t="s">
        <v>199</v>
      </c>
      <c r="C34" s="18">
        <v>300000.0</v>
      </c>
      <c r="D34" s="13">
        <f t="shared" si="6"/>
        <v>1200000</v>
      </c>
      <c r="G34" s="19"/>
      <c r="H34" s="76"/>
      <c r="I34" s="19"/>
      <c r="J34" s="37">
        <f t="shared" si="5"/>
        <v>0</v>
      </c>
    </row>
    <row r="35">
      <c r="A35" s="11" t="s">
        <v>216</v>
      </c>
      <c r="B35" s="54" t="s">
        <v>211</v>
      </c>
      <c r="C35" s="18"/>
      <c r="D35" s="18">
        <v>3000000.0</v>
      </c>
      <c r="G35" s="19"/>
      <c r="H35" s="76"/>
      <c r="I35" s="19"/>
      <c r="J35" s="37">
        <f t="shared" si="5"/>
        <v>0</v>
      </c>
    </row>
    <row r="36">
      <c r="A36" s="57" t="s">
        <v>217</v>
      </c>
      <c r="B36" s="58" t="s">
        <v>205</v>
      </c>
      <c r="C36" s="73"/>
      <c r="D36" s="73"/>
      <c r="G36" s="19"/>
      <c r="H36" s="76"/>
      <c r="I36" s="19"/>
      <c r="J36" s="37">
        <f t="shared" si="5"/>
        <v>0</v>
      </c>
    </row>
    <row r="37">
      <c r="A37" s="11" t="s">
        <v>218</v>
      </c>
      <c r="B37" s="54" t="s">
        <v>219</v>
      </c>
      <c r="C37" s="18">
        <v>1000000.0</v>
      </c>
      <c r="D37" s="13">
        <f>C37*B37</f>
        <v>2000000</v>
      </c>
      <c r="G37" s="19"/>
      <c r="H37" s="76"/>
      <c r="I37" s="19"/>
      <c r="J37" s="37">
        <f t="shared" si="5"/>
        <v>0</v>
      </c>
    </row>
    <row r="38">
      <c r="A38" s="78" t="s">
        <v>220</v>
      </c>
      <c r="B38" s="69" t="s">
        <v>199</v>
      </c>
      <c r="C38" s="71"/>
      <c r="D38" s="71">
        <v>2000000.0</v>
      </c>
      <c r="G38" s="19"/>
      <c r="H38" s="76"/>
      <c r="I38" s="19"/>
      <c r="J38" s="37">
        <f t="shared" si="5"/>
        <v>0</v>
      </c>
    </row>
    <row r="39">
      <c r="A39" s="11" t="s">
        <v>221</v>
      </c>
      <c r="B39" s="54" t="s">
        <v>222</v>
      </c>
      <c r="C39" s="18">
        <v>541714.0</v>
      </c>
      <c r="D39" s="13">
        <f t="shared" ref="D39:D44" si="7">C39*B39</f>
        <v>3250284</v>
      </c>
      <c r="G39" s="19"/>
      <c r="H39" s="76"/>
      <c r="I39" s="19"/>
      <c r="J39" s="37">
        <f t="shared" si="5"/>
        <v>0</v>
      </c>
    </row>
    <row r="40">
      <c r="A40" s="11" t="s">
        <v>223</v>
      </c>
      <c r="B40" s="54" t="s">
        <v>203</v>
      </c>
      <c r="C40" s="18">
        <v>400000.0</v>
      </c>
      <c r="D40" s="13">
        <f t="shared" si="7"/>
        <v>800000</v>
      </c>
      <c r="G40" s="19"/>
      <c r="H40" s="76"/>
      <c r="I40" s="19"/>
      <c r="J40" s="37">
        <f t="shared" si="5"/>
        <v>0</v>
      </c>
    </row>
    <row r="41">
      <c r="A41" s="11" t="s">
        <v>224</v>
      </c>
      <c r="B41" s="54" t="s">
        <v>225</v>
      </c>
      <c r="C41" s="18">
        <v>8990.0</v>
      </c>
      <c r="D41" s="13">
        <f t="shared" si="7"/>
        <v>539400</v>
      </c>
      <c r="G41" s="19"/>
      <c r="H41" s="76"/>
      <c r="I41" s="19"/>
      <c r="J41" s="37">
        <f t="shared" si="5"/>
        <v>0</v>
      </c>
    </row>
    <row r="42">
      <c r="A42" s="11" t="s">
        <v>226</v>
      </c>
      <c r="B42" s="54" t="s">
        <v>188</v>
      </c>
      <c r="C42" s="18">
        <v>12000.0</v>
      </c>
      <c r="D42" s="13">
        <f t="shared" si="7"/>
        <v>360000</v>
      </c>
      <c r="G42" s="19"/>
      <c r="H42" s="76"/>
      <c r="I42" s="19"/>
      <c r="J42" s="37">
        <f t="shared" si="5"/>
        <v>0</v>
      </c>
    </row>
    <row r="43">
      <c r="A43" s="11" t="s">
        <v>12</v>
      </c>
      <c r="B43" s="54" t="s">
        <v>203</v>
      </c>
      <c r="C43" s="18">
        <v>2.0E7</v>
      </c>
      <c r="D43" s="13">
        <f t="shared" si="7"/>
        <v>40000000</v>
      </c>
      <c r="G43" s="19"/>
      <c r="H43" s="76"/>
      <c r="I43" s="19"/>
      <c r="J43" s="37">
        <f t="shared" si="5"/>
        <v>0</v>
      </c>
    </row>
    <row r="44">
      <c r="A44" s="11" t="s">
        <v>227</v>
      </c>
      <c r="B44" s="54" t="s">
        <v>222</v>
      </c>
      <c r="C44" s="18">
        <v>700000.0</v>
      </c>
      <c r="D44" s="13">
        <f t="shared" si="7"/>
        <v>4200000</v>
      </c>
    </row>
    <row r="45">
      <c r="A45" s="19"/>
      <c r="B45" s="20"/>
      <c r="C45" s="79"/>
      <c r="D45" s="21"/>
    </row>
    <row r="46">
      <c r="A46" s="19"/>
      <c r="B46" s="20"/>
      <c r="C46" s="79"/>
      <c r="D46" s="21"/>
    </row>
    <row r="47">
      <c r="A47" s="19"/>
      <c r="B47" s="20"/>
      <c r="C47" s="79"/>
      <c r="D47" s="21"/>
    </row>
    <row r="48">
      <c r="A48" s="19"/>
      <c r="B48" s="20"/>
      <c r="C48" s="79"/>
      <c r="D48" s="21"/>
    </row>
    <row r="49">
      <c r="A49" s="19"/>
      <c r="B49" s="20"/>
      <c r="C49" s="79"/>
      <c r="D49" s="21"/>
      <c r="G49" s="19"/>
    </row>
    <row r="50">
      <c r="A50" s="19"/>
      <c r="B50" s="20"/>
      <c r="C50" s="79"/>
      <c r="D50" s="21"/>
      <c r="G50" s="19"/>
    </row>
    <row r="51">
      <c r="A51" s="19"/>
      <c r="B51" s="20"/>
      <c r="C51" s="79"/>
      <c r="D51" s="21"/>
      <c r="G51" s="19"/>
    </row>
    <row r="52">
      <c r="A52" s="19"/>
      <c r="B52" s="20"/>
      <c r="C52" s="79"/>
      <c r="D52" s="21"/>
      <c r="G52" s="19"/>
    </row>
    <row r="53">
      <c r="A53" s="19"/>
      <c r="B53" s="20"/>
      <c r="C53" s="79"/>
      <c r="D53" s="21"/>
    </row>
    <row r="54">
      <c r="A54" s="19"/>
      <c r="B54" s="20"/>
      <c r="C54" s="79"/>
      <c r="D54" s="21"/>
    </row>
    <row r="55">
      <c r="A55" s="19"/>
      <c r="B55" s="20"/>
      <c r="C55" s="79"/>
      <c r="D55" s="21"/>
    </row>
    <row r="56">
      <c r="A56" s="19"/>
      <c r="B56" s="20"/>
      <c r="C56" s="79"/>
      <c r="D56" s="21"/>
    </row>
    <row r="57">
      <c r="A57" s="19"/>
      <c r="B57" s="20"/>
      <c r="C57" s="79"/>
      <c r="D57" s="21"/>
    </row>
    <row r="58">
      <c r="A58" s="19"/>
      <c r="B58" s="20"/>
      <c r="C58" s="79"/>
      <c r="D58" s="21"/>
    </row>
    <row r="59">
      <c r="A59" s="19"/>
      <c r="B59" s="20"/>
      <c r="C59" s="79"/>
      <c r="D59" s="21"/>
    </row>
    <row r="60">
      <c r="A60" s="19"/>
      <c r="B60" s="20"/>
      <c r="C60" s="79"/>
      <c r="D60" s="21"/>
    </row>
    <row r="61">
      <c r="A61" s="19"/>
      <c r="B61" s="20"/>
      <c r="C61" s="79"/>
      <c r="D61" s="21"/>
    </row>
    <row r="62">
      <c r="A62" s="19"/>
      <c r="B62" s="20"/>
      <c r="C62" s="79"/>
      <c r="D62" s="21"/>
    </row>
    <row r="63">
      <c r="A63" s="19"/>
      <c r="B63" s="20"/>
      <c r="C63" s="79"/>
      <c r="D63" s="21"/>
    </row>
    <row r="64">
      <c r="A64" s="19"/>
      <c r="B64" s="20"/>
      <c r="C64" s="79"/>
      <c r="D64" s="21"/>
    </row>
    <row r="65">
      <c r="A65" s="19"/>
      <c r="B65" s="20"/>
      <c r="C65" s="79"/>
      <c r="D65" s="21"/>
    </row>
    <row r="66">
      <c r="D66" s="21"/>
    </row>
    <row r="67">
      <c r="A67" s="46"/>
      <c r="B67" s="46"/>
      <c r="C67" s="46"/>
      <c r="D67" s="21"/>
    </row>
    <row r="68">
      <c r="A68" s="19"/>
      <c r="B68" s="76"/>
      <c r="D68" s="21"/>
    </row>
    <row r="69">
      <c r="A69" s="19"/>
      <c r="B69" s="76"/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1"/>
</worksheet>
</file>